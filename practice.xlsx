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raj\Downloads\"/>
    </mc:Choice>
  </mc:AlternateContent>
  <xr:revisionPtr revIDLastSave="0" documentId="13_ncr:1_{B1697C0D-278E-4060-A633-53870B5C37C8}" xr6:coauthVersionLast="47" xr6:coauthVersionMax="47" xr10:uidLastSave="{00000000-0000-0000-0000-000000000000}"/>
  <bookViews>
    <workbookView xWindow="-108" yWindow="-108" windowWidth="23256" windowHeight="13176" xr2:uid="{F14C8A33-7C98-4DEF-9426-DBF1ECA1A38C}"/>
  </bookViews>
  <sheets>
    <sheet name="Employe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9" i="1" l="1"/>
  <c r="J15" i="1"/>
  <c r="J14" i="1"/>
  <c r="J16" i="1" s="1"/>
  <c r="G15" i="1"/>
  <c r="H36" i="1"/>
  <c r="H35" i="1"/>
  <c r="H34" i="1"/>
  <c r="H33" i="1"/>
  <c r="H32" i="1"/>
  <c r="H31" i="1"/>
  <c r="F32" i="1"/>
  <c r="F31" i="1"/>
  <c r="I23" i="1"/>
  <c r="H22" i="1"/>
  <c r="G23" i="1"/>
  <c r="G22" i="1"/>
  <c r="F34" i="1" s="1"/>
  <c r="F23" i="1"/>
  <c r="F22" i="1"/>
  <c r="E23" i="1"/>
  <c r="E22" i="1"/>
  <c r="C23" i="1"/>
  <c r="C22" i="1"/>
  <c r="D28" i="1"/>
  <c r="F33" i="1" s="1"/>
  <c r="D27" i="1"/>
  <c r="D25" i="1"/>
  <c r="D26" i="1"/>
  <c r="H16" i="1"/>
  <c r="H15" i="1"/>
  <c r="G16" i="1"/>
  <c r="F17" i="1"/>
  <c r="H23" i="1" s="1"/>
  <c r="F16" i="1"/>
  <c r="F15" i="1"/>
  <c r="E16" i="1"/>
  <c r="E17" i="1"/>
  <c r="E18" i="1"/>
  <c r="E19" i="1"/>
  <c r="E20" i="1"/>
  <c r="E15" i="1"/>
  <c r="C19" i="1"/>
  <c r="C18" i="1"/>
  <c r="C17" i="1"/>
  <c r="C16" i="1"/>
  <c r="C15" i="1"/>
  <c r="J20" i="1" l="1"/>
  <c r="J18" i="1"/>
  <c r="J17" i="1"/>
  <c r="F36" i="1"/>
  <c r="F35" i="1"/>
  <c r="I22" i="1"/>
</calcChain>
</file>

<file path=xl/sharedStrings.xml><?xml version="1.0" encoding="utf-8"?>
<sst xmlns="http://schemas.openxmlformats.org/spreadsheetml/2006/main" count="60" uniqueCount="50">
  <si>
    <t>EmpID</t>
  </si>
  <si>
    <t>Name</t>
  </si>
  <si>
    <t>Dept</t>
  </si>
  <si>
    <t>Age</t>
  </si>
  <si>
    <t>JoinDate</t>
  </si>
  <si>
    <t>Salary</t>
  </si>
  <si>
    <t>City</t>
  </si>
  <si>
    <t>Status</t>
  </si>
  <si>
    <t>Shreya G</t>
  </si>
  <si>
    <t>Manish U</t>
  </si>
  <si>
    <t>Sathvika V</t>
  </si>
  <si>
    <t>IT</t>
  </si>
  <si>
    <t>HR</t>
  </si>
  <si>
    <t>Finance</t>
  </si>
  <si>
    <t>30/02/2024</t>
  </si>
  <si>
    <t>Sydney</t>
  </si>
  <si>
    <t>Brisbane</t>
  </si>
  <si>
    <t>Banglore</t>
  </si>
  <si>
    <t>Active</t>
  </si>
  <si>
    <t>Resigned</t>
  </si>
  <si>
    <t xml:space="preserve">raju s </t>
  </si>
  <si>
    <t>sita r</t>
  </si>
  <si>
    <t>teena y</t>
  </si>
  <si>
    <t>Melbourne</t>
  </si>
  <si>
    <t>Pune</t>
  </si>
  <si>
    <t>Perth</t>
  </si>
  <si>
    <t>Canberra</t>
  </si>
  <si>
    <t>Ac  tive</t>
  </si>
  <si>
    <t>Text Cleaning</t>
  </si>
  <si>
    <t>lucky r  s</t>
  </si>
  <si>
    <t>Phanindra     paul</t>
  </si>
  <si>
    <t xml:space="preserve"> R  esigned</t>
  </si>
  <si>
    <t>Logic</t>
  </si>
  <si>
    <t>Remove extra spaces</t>
  </si>
  <si>
    <t>If</t>
  </si>
  <si>
    <t>And</t>
  </si>
  <si>
    <t>Or</t>
  </si>
  <si>
    <t>Not</t>
  </si>
  <si>
    <t>Min, Max, Sum, Average</t>
  </si>
  <si>
    <t>Concat</t>
  </si>
  <si>
    <t>Left</t>
  </si>
  <si>
    <t>Right</t>
  </si>
  <si>
    <t>Count</t>
  </si>
  <si>
    <t>Counta</t>
  </si>
  <si>
    <t>CounBlank</t>
  </si>
  <si>
    <t>Formatting</t>
  </si>
  <si>
    <t>Color scale, top 3, less than</t>
  </si>
  <si>
    <t>Math Functions</t>
  </si>
  <si>
    <t>Text Functions</t>
  </si>
  <si>
    <t>Date and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</si>
</sst>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22" fontId="0" fillId="0" borderId="0" xfId="0" applyNumberFormat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8BC4D6-E770-487C-8280-619B7190934C}" name="Table1" displayName="Table1" ref="A1:H9" totalsRowShown="0" headerRowDxfId="17">
  <autoFilter ref="A1:H9" xr:uid="{378BC4D6-E770-487C-8280-619B7190934C}"/>
  <tableColumns count="8">
    <tableColumn id="1" xr3:uid="{5CDC65CE-C147-4EEA-98D9-4A05795FCC2B}" name="EmpID"/>
    <tableColumn id="2" xr3:uid="{076C9E12-9F92-428B-9DAE-66E3A931FFC1}" name="Name"/>
    <tableColumn id="3" xr3:uid="{DC597385-C648-4B05-8F24-27B615AE255D}" name="Dept"/>
    <tableColumn id="4" xr3:uid="{99470271-F424-4DBE-AD61-F1F6C8F527EF}" name="Age"/>
    <tableColumn id="5" xr3:uid="{F0FC6061-B474-4910-B899-4507C51D99E5}" name="JoinDate" dataDxfId="18"/>
    <tableColumn id="6" xr3:uid="{4E214258-E9CC-40AA-AFA6-AF7D25C6EAA4}" name="Salary"/>
    <tableColumn id="7" xr3:uid="{84E8DB34-CF45-4234-8872-C2948CA7303F}" name="City"/>
    <tableColumn id="8" xr3:uid="{6984FD84-48ED-4E1A-9467-58BCB9EF770F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01834-B45D-46DD-BD28-4C5FF8BD526D}">
  <dimension ref="A1:J36"/>
  <sheetViews>
    <sheetView tabSelected="1" topLeftCell="A4" workbookViewId="0">
      <selection activeCell="M24" sqref="M24"/>
    </sheetView>
  </sheetViews>
  <sheetFormatPr defaultRowHeight="14.4" x14ac:dyDescent="0.3"/>
  <cols>
    <col min="5" max="5" width="10.33203125" bestFit="1" customWidth="1"/>
    <col min="10" max="10" width="15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">
      <c r="A2">
        <v>101</v>
      </c>
      <c r="B2" t="s">
        <v>8</v>
      </c>
      <c r="C2" t="s">
        <v>11</v>
      </c>
      <c r="D2">
        <v>23</v>
      </c>
      <c r="E2" s="2">
        <v>45851</v>
      </c>
      <c r="F2">
        <v>52000</v>
      </c>
      <c r="G2" t="s">
        <v>15</v>
      </c>
      <c r="H2" t="s">
        <v>18</v>
      </c>
    </row>
    <row r="3" spans="1:10" x14ac:dyDescent="0.3">
      <c r="A3">
        <v>102</v>
      </c>
      <c r="B3" t="s">
        <v>9</v>
      </c>
      <c r="C3" t="s">
        <v>13</v>
      </c>
      <c r="D3">
        <v>13</v>
      </c>
      <c r="E3" s="2">
        <v>44140</v>
      </c>
      <c r="F3">
        <v>85000</v>
      </c>
      <c r="G3" t="s">
        <v>16</v>
      </c>
      <c r="H3" t="s">
        <v>19</v>
      </c>
    </row>
    <row r="4" spans="1:10" x14ac:dyDescent="0.3">
      <c r="A4">
        <v>103</v>
      </c>
      <c r="B4" t="s">
        <v>10</v>
      </c>
      <c r="C4" t="s">
        <v>12</v>
      </c>
      <c r="D4">
        <v>24</v>
      </c>
      <c r="E4" t="s">
        <v>14</v>
      </c>
      <c r="F4">
        <v>40000</v>
      </c>
      <c r="G4" t="s">
        <v>17</v>
      </c>
      <c r="H4" t="s">
        <v>18</v>
      </c>
    </row>
    <row r="5" spans="1:10" x14ac:dyDescent="0.3">
      <c r="A5">
        <v>104</v>
      </c>
      <c r="B5" t="s">
        <v>20</v>
      </c>
      <c r="C5" t="s">
        <v>12</v>
      </c>
      <c r="D5">
        <v>10</v>
      </c>
      <c r="E5" s="2">
        <v>44883</v>
      </c>
      <c r="F5">
        <v>33000</v>
      </c>
      <c r="G5" t="s">
        <v>23</v>
      </c>
      <c r="H5" t="s">
        <v>18</v>
      </c>
    </row>
    <row r="6" spans="1:10" x14ac:dyDescent="0.3">
      <c r="A6">
        <v>105</v>
      </c>
      <c r="B6" t="s">
        <v>21</v>
      </c>
      <c r="C6" t="s">
        <v>11</v>
      </c>
      <c r="D6">
        <v>49</v>
      </c>
      <c r="E6" s="2">
        <v>40179</v>
      </c>
      <c r="F6">
        <v>100000</v>
      </c>
      <c r="G6" t="s">
        <v>26</v>
      </c>
      <c r="H6" t="s">
        <v>31</v>
      </c>
    </row>
    <row r="7" spans="1:10" x14ac:dyDescent="0.3">
      <c r="A7">
        <v>106</v>
      </c>
      <c r="B7" t="s">
        <v>29</v>
      </c>
      <c r="C7" t="s">
        <v>13</v>
      </c>
      <c r="D7">
        <v>65</v>
      </c>
      <c r="E7" s="2">
        <v>40049</v>
      </c>
      <c r="G7" t="s">
        <v>25</v>
      </c>
      <c r="H7" t="s">
        <v>27</v>
      </c>
    </row>
    <row r="8" spans="1:10" x14ac:dyDescent="0.3">
      <c r="A8">
        <v>107</v>
      </c>
      <c r="B8" t="s">
        <v>30</v>
      </c>
      <c r="C8" t="s">
        <v>12</v>
      </c>
      <c r="D8">
        <v>16</v>
      </c>
      <c r="E8" s="2">
        <v>43527</v>
      </c>
      <c r="F8">
        <v>18000</v>
      </c>
      <c r="G8" t="s">
        <v>15</v>
      </c>
      <c r="H8" t="s">
        <v>18</v>
      </c>
    </row>
    <row r="9" spans="1:10" x14ac:dyDescent="0.3">
      <c r="A9">
        <v>108</v>
      </c>
      <c r="B9" t="s">
        <v>22</v>
      </c>
      <c r="C9" t="s">
        <v>13</v>
      </c>
      <c r="D9">
        <v>80</v>
      </c>
      <c r="E9" s="2">
        <v>44078</v>
      </c>
      <c r="F9">
        <v>25000</v>
      </c>
      <c r="G9" t="s">
        <v>24</v>
      </c>
      <c r="H9" t="s">
        <v>19</v>
      </c>
    </row>
    <row r="13" spans="1:10" x14ac:dyDescent="0.3">
      <c r="B13" s="1" t="s">
        <v>28</v>
      </c>
      <c r="E13" s="1" t="s">
        <v>32</v>
      </c>
      <c r="J13" s="1" t="s">
        <v>49</v>
      </c>
    </row>
    <row r="14" spans="1:10" x14ac:dyDescent="0.3">
      <c r="B14" s="1"/>
      <c r="C14" s="1" t="s">
        <v>33</v>
      </c>
      <c r="E14" s="1" t="s">
        <v>34</v>
      </c>
      <c r="F14" s="1" t="s">
        <v>35</v>
      </c>
      <c r="G14" s="1" t="s">
        <v>36</v>
      </c>
      <c r="H14" s="1" t="s">
        <v>37</v>
      </c>
      <c r="J14" s="2">
        <f ca="1">TODAY()</f>
        <v>45980</v>
      </c>
    </row>
    <row r="15" spans="1:10" x14ac:dyDescent="0.3">
      <c r="C15" t="str">
        <f>TRIM(B5)</f>
        <v>raju s</v>
      </c>
      <c r="E15" t="str">
        <f>IF(D2&gt;16,"Senior", "Junior")</f>
        <v>Senior</v>
      </c>
      <c r="F15" t="b">
        <f>AND(F2&gt;20000,F8&lt;20000)</f>
        <v>1</v>
      </c>
      <c r="G15" t="b">
        <f>OR(F2&lt;10000,F5&gt;10000)</f>
        <v>1</v>
      </c>
      <c r="H15" t="b">
        <f>NOT(F2&lt;50000)</f>
        <v>1</v>
      </c>
      <c r="J15" s="4">
        <f ca="1">NOW()</f>
        <v>45980.489793518522</v>
      </c>
    </row>
    <row r="16" spans="1:10" x14ac:dyDescent="0.3">
      <c r="C16" t="str">
        <f>TRIM(B7)</f>
        <v>lucky r s</v>
      </c>
      <c r="E16" t="str">
        <f>IF(D3&gt;16,"Senior", "Junior")</f>
        <v>Junior</v>
      </c>
      <c r="F16" t="b">
        <f>AND(F3&gt;86000,F4&lt;30000)</f>
        <v>0</v>
      </c>
      <c r="G16" t="b">
        <f>OR(F8&gt;20000,F9&gt;26000)</f>
        <v>0</v>
      </c>
      <c r="H16" t="b">
        <f>NOT(F9&lt;30000)</f>
        <v>0</v>
      </c>
      <c r="J16">
        <f ca="1">DAY(J14)</f>
        <v>19</v>
      </c>
    </row>
    <row r="17" spans="2:10" x14ac:dyDescent="0.3">
      <c r="C17" t="str">
        <f>TRIM(B8)</f>
        <v>Phanindra paul</v>
      </c>
      <c r="E17" t="str">
        <f>IF(D4&gt;16,"Senior", "Junior")</f>
        <v>Senior</v>
      </c>
      <c r="F17" t="b">
        <f>AND(F5&lt;20000,F6&lt;10000)</f>
        <v>0</v>
      </c>
      <c r="J17">
        <f ca="1">MONTH(J14)</f>
        <v>11</v>
      </c>
    </row>
    <row r="18" spans="2:10" x14ac:dyDescent="0.3">
      <c r="C18" t="str">
        <f>TRIM(H6)</f>
        <v>R esigned</v>
      </c>
      <c r="E18" t="str">
        <f>IF(D5&gt;16,"Senior", "Junior")</f>
        <v>Junior</v>
      </c>
      <c r="J18">
        <f ca="1">YEAR(J14)</f>
        <v>2025</v>
      </c>
    </row>
    <row r="19" spans="2:10" x14ac:dyDescent="0.3">
      <c r="C19" t="str">
        <f>TRIM(H7)</f>
        <v>Ac tive</v>
      </c>
      <c r="E19" t="str">
        <f>IF(D6&gt;16,"Senior", "Junior")</f>
        <v>Senior</v>
      </c>
      <c r="J19" s="2">
        <f>DATE(2021,9,21)</f>
        <v>44460</v>
      </c>
    </row>
    <row r="20" spans="2:10" x14ac:dyDescent="0.3">
      <c r="E20" t="str">
        <f>IF(D7&gt;16,"Senior", "Junior")</f>
        <v>Senior</v>
      </c>
      <c r="J20">
        <f ca="1">WEEKDAY(J14)</f>
        <v>4</v>
      </c>
    </row>
    <row r="21" spans="2:10" x14ac:dyDescent="0.3">
      <c r="C21" s="1" t="s">
        <v>39</v>
      </c>
      <c r="E21" s="1" t="s">
        <v>40</v>
      </c>
      <c r="F21" s="1" t="s">
        <v>41</v>
      </c>
      <c r="G21" s="1" t="s">
        <v>42</v>
      </c>
      <c r="H21" s="1" t="s">
        <v>43</v>
      </c>
      <c r="I21" s="1" t="s">
        <v>44</v>
      </c>
    </row>
    <row r="22" spans="2:10" x14ac:dyDescent="0.3">
      <c r="C22" t="str">
        <f>_xlfn.CONCAT(G8,H8)</f>
        <v>SydneyActive</v>
      </c>
      <c r="E22" t="str">
        <f>LEFT(G9,3)</f>
        <v>Pun</v>
      </c>
      <c r="F22" t="str">
        <f>RIGHT(G6, 4)</f>
        <v>erra</v>
      </c>
      <c r="G22">
        <f>COUNT(C12,C7,F8,F7,H8,E7,D7)</f>
        <v>3</v>
      </c>
      <c r="H22">
        <f>COUNTA(F18:F20)</f>
        <v>0</v>
      </c>
      <c r="I22">
        <f>COUNTBLANK(F17)</f>
        <v>0</v>
      </c>
    </row>
    <row r="23" spans="2:10" x14ac:dyDescent="0.3">
      <c r="C23" t="str">
        <f>_xlfn.CONCAT(F8,F9)</f>
        <v>1800025000</v>
      </c>
      <c r="E23" t="str">
        <f>LEFT(F8,2)</f>
        <v>18</v>
      </c>
      <c r="F23" t="str">
        <f>RIGHT(C9,3)</f>
        <v>nce</v>
      </c>
      <c r="G23">
        <f>COUNT(B7,D5,D8,E8,D9)</f>
        <v>4</v>
      </c>
      <c r="H23">
        <f>COUNTA(F17:F19)</f>
        <v>1</v>
      </c>
      <c r="I23">
        <f>COUNTBLANK(G17:G18)</f>
        <v>2</v>
      </c>
    </row>
    <row r="24" spans="2:10" x14ac:dyDescent="0.3">
      <c r="C24" s="1" t="s">
        <v>38</v>
      </c>
    </row>
    <row r="25" spans="2:10" x14ac:dyDescent="0.3">
      <c r="D25">
        <f>MIN(F8,F9)</f>
        <v>18000</v>
      </c>
    </row>
    <row r="26" spans="2:10" x14ac:dyDescent="0.3">
      <c r="D26">
        <f>MAX(F5,F4)</f>
        <v>40000</v>
      </c>
    </row>
    <row r="27" spans="2:10" x14ac:dyDescent="0.3">
      <c r="D27">
        <f>SUM(F8,F9)</f>
        <v>43000</v>
      </c>
    </row>
    <row r="28" spans="2:10" x14ac:dyDescent="0.3">
      <c r="D28">
        <f>AVERAGE(D7,D9,D8)</f>
        <v>53.666666666666664</v>
      </c>
    </row>
    <row r="30" spans="2:10" x14ac:dyDescent="0.3">
      <c r="B30" s="1" t="s">
        <v>45</v>
      </c>
      <c r="F30" s="1" t="s">
        <v>47</v>
      </c>
      <c r="H30" s="1" t="s">
        <v>48</v>
      </c>
    </row>
    <row r="31" spans="2:10" x14ac:dyDescent="0.3">
      <c r="C31" s="3" t="s">
        <v>46</v>
      </c>
      <c r="F31">
        <f>SUMIF(D7:D9,"&gt;20")</f>
        <v>145</v>
      </c>
      <c r="H31" t="str">
        <f>MID(B2,3,3)</f>
        <v>rey</v>
      </c>
    </row>
    <row r="32" spans="2:10" x14ac:dyDescent="0.3">
      <c r="F32">
        <f>COUNTIF(F2:F8,"&gt;50000")</f>
        <v>3</v>
      </c>
      <c r="H32">
        <f>LEN(F17)</f>
        <v>5</v>
      </c>
    </row>
    <row r="33" spans="6:8" x14ac:dyDescent="0.3">
      <c r="F33">
        <f>ROUND(D28,3)</f>
        <v>53.667000000000002</v>
      </c>
      <c r="H33" t="b">
        <f>EXACT(E16,E17)</f>
        <v>0</v>
      </c>
    </row>
    <row r="34" spans="6:8" x14ac:dyDescent="0.3">
      <c r="F34">
        <f>MOD(D2,G22)</f>
        <v>2</v>
      </c>
      <c r="H34" t="b">
        <f>EXACT(E17,E20)</f>
        <v>1</v>
      </c>
    </row>
    <row r="35" spans="6:8" x14ac:dyDescent="0.3">
      <c r="F35">
        <f>_xlfn.CEILING.MATH(F33)</f>
        <v>54</v>
      </c>
      <c r="H35">
        <f>FIND("s",B3)</f>
        <v>5</v>
      </c>
    </row>
    <row r="36" spans="6:8" x14ac:dyDescent="0.3">
      <c r="F36">
        <f>_xlfn.FLOOR.MATH(F33)</f>
        <v>53</v>
      </c>
      <c r="H36" t="str">
        <f>SUBSTITUTE(E20,"o","p")</f>
        <v>Senipr</v>
      </c>
    </row>
  </sheetData>
  <conditionalFormatting sqref="C31">
    <cfRule type="cellIs" dxfId="4" priority="6" operator="lessThan">
      <formula>20</formula>
    </cfRule>
  </conditionalFormatting>
  <conditionalFormatting sqref="D2:D9">
    <cfRule type="cellIs" dxfId="3" priority="5" operator="lessThan">
      <formula>25</formula>
    </cfRule>
  </conditionalFormatting>
  <conditionalFormatting sqref="F2:F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9">
    <cfRule type="top10" dxfId="2" priority="1" rank="2"/>
    <cfRule type="top10" dxfId="1" priority="2" rank="2"/>
    <cfRule type="top10" dxfId="0" priority="3" rank="3"/>
  </conditionalFormatting>
  <dataValidations count="3">
    <dataValidation type="list" allowBlank="1" showInputMessage="1" showErrorMessage="1" sqref="E1 C2:C9" xr:uid="{06318CCA-318E-4EFE-AA88-B33CDB1C665B}">
      <formula1>"IT, HR, Finance"</formula1>
    </dataValidation>
    <dataValidation type="list" allowBlank="1" showInputMessage="1" showErrorMessage="1" sqref="G2" xr:uid="{5DCE56A0-E99F-453A-9133-B1EAA193F9AA}">
      <formula1>"melbourne,sydney, brisbane,perth, bangalore, canberra"</formula1>
    </dataValidation>
    <dataValidation type="list" allowBlank="1" showInputMessage="1" showErrorMessage="1" sqref="G5:G9" xr:uid="{3702C232-4E77-433C-90FC-79B8834E5080}">
      <formula1>"Melbourne, Sydney, Brisbane, Perth, Canberra, Bangalore, Pune"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UPPALWAI</dc:creator>
  <cp:lastModifiedBy>UPPALWAI</cp:lastModifiedBy>
  <dcterms:created xsi:type="dcterms:W3CDTF">2025-11-18T06:44:10Z</dcterms:created>
  <dcterms:modified xsi:type="dcterms:W3CDTF">2025-11-19T01:45:57Z</dcterms:modified>
</cp:coreProperties>
</file>